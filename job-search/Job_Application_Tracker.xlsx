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pplic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666666"/>
      <sz val="9"/>
    </font>
    <font>
      <name val="Arial"/>
      <b val="1"/>
      <sz val="9"/>
    </font>
    <font>
      <name val="Calibri"/>
      <sz val="10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color rgb="001B4F8A"/>
      <sz val="13"/>
    </font>
  </fonts>
  <fills count="11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FFF2CC"/>
      </patternFill>
    </fill>
    <fill>
      <patternFill patternType="solid">
        <fgColor rgb="00D0E4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4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  <border>
      <left style="thin">
        <color rgb="00DDDDDD"/>
      </left>
      <right style="thin">
        <color rgb="00DDDDDD"/>
      </right>
      <bottom style="thin">
        <color rgb="00DDDDDD"/>
      </bottom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4" fillId="9" borderId="2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/>
    </xf>
    <xf numFmtId="0" fontId="4" fillId="10" borderId="2" applyAlignment="1" pivotButton="0" quotePrefix="0" xfId="0">
      <alignment vertical="center" wrapText="1"/>
    </xf>
    <xf numFmtId="0" fontId="5" fillId="2" borderId="0" pivotButton="0" quotePrefix="0" xfId="0"/>
    <xf numFmtId="0" fontId="6" fillId="4" borderId="3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8" customWidth="1" min="4" max="4"/>
    <col width="15" customWidth="1" min="5" max="5"/>
    <col width="35" customWidth="1" min="6" max="6"/>
    <col width="15" customWidth="1" min="7" max="7"/>
    <col width="18" customWidth="1" min="8" max="8"/>
    <col width="40" customWidth="1" min="9" max="9"/>
  </cols>
  <sheetData>
    <row r="1" ht="35" customHeight="1">
      <c r="A1" s="1" t="inlineStr">
        <is>
          <t>#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Date Applied</t>
        </is>
      </c>
      <c r="F1" s="1" t="inlineStr">
        <is>
          <t>Application Link</t>
        </is>
      </c>
      <c r="G1" s="1" t="inlineStr">
        <is>
          <t>Status</t>
        </is>
      </c>
      <c r="H1" s="1" t="inlineStr">
        <is>
          <t>Follow Up Date</t>
        </is>
      </c>
      <c r="I1" s="1" t="inlineStr">
        <is>
          <t>Notes</t>
        </is>
      </c>
    </row>
    <row r="2" ht="20" customHeight="1">
      <c r="A2" s="2" t="inlineStr">
        <is>
          <t>STATUS KEY →</t>
        </is>
      </c>
      <c r="C2" s="3" t="inlineStr">
        <is>
          <t>Applied</t>
        </is>
      </c>
      <c r="D2" s="4" t="inlineStr">
        <is>
          <t>In Review</t>
        </is>
      </c>
      <c r="E2" s="5" t="inlineStr">
        <is>
          <t>Interview</t>
        </is>
      </c>
      <c r="F2" s="6" t="inlineStr">
        <is>
          <t>Rejected</t>
        </is>
      </c>
      <c r="G2" s="7" t="inlineStr">
        <is>
          <t>Offer</t>
        </is>
      </c>
      <c r="H2" s="8" t="inlineStr">
        <is>
          <t>Withdrawn</t>
        </is>
      </c>
    </row>
    <row r="3" ht="22" customHeight="1">
      <c r="A3" s="9" t="n">
        <v>1</v>
      </c>
      <c r="B3" s="9" t="inlineStr">
        <is>
          <t>Company Name</t>
        </is>
      </c>
      <c r="C3" s="9" t="inlineStr">
        <is>
          <t>Data Analyst Intern</t>
        </is>
      </c>
      <c r="D3" s="9" t="inlineStr">
        <is>
          <t>Lagos, Nigeria</t>
        </is>
      </c>
      <c r="E3" s="9" t="inlineStr">
        <is>
          <t>20/05/2026</t>
        </is>
      </c>
      <c r="F3" s="9" t="inlineStr">
        <is>
          <t>linkedin.com/jobs/...</t>
        </is>
      </c>
      <c r="G3" s="10" t="inlineStr">
        <is>
          <t>Applied</t>
        </is>
      </c>
      <c r="H3" s="9" t="inlineStr">
        <is>
          <t>27/05/2026</t>
        </is>
      </c>
      <c r="I3" s="9" t="inlineStr">
        <is>
          <t>Applied via LinkedIn</t>
        </is>
      </c>
    </row>
    <row r="4" ht="22" customHeight="1">
      <c r="A4" s="11" t="n">
        <v>2</v>
      </c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inlineStr"/>
    </row>
    <row r="5" ht="22" customHeight="1">
      <c r="A5" s="9" t="n">
        <v>3</v>
      </c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</row>
    <row r="6" ht="22" customHeight="1">
      <c r="A6" s="11" t="n">
        <v>4</v>
      </c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</row>
    <row r="7" ht="22" customHeight="1">
      <c r="A7" s="9" t="n">
        <v>5</v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</row>
    <row r="8" ht="22" customHeight="1">
      <c r="A8" s="11" t="n">
        <v>6</v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</row>
    <row r="9" ht="22" customHeight="1">
      <c r="A9" s="9" t="n">
        <v>7</v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</row>
    <row r="10" ht="22" customHeight="1">
      <c r="A10" s="11" t="n">
        <v>8</v>
      </c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</row>
    <row r="11" ht="22" customHeight="1">
      <c r="A11" s="9" t="n">
        <v>9</v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</row>
    <row r="12" ht="22" customHeight="1">
      <c r="A12" s="11" t="n">
        <v>10</v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0" customHeight="1">
      <c r="A1" s="12" t="inlineStr">
        <is>
          <t>Application Summary</t>
        </is>
      </c>
    </row>
    <row r="2" ht="28" customHeight="1">
      <c r="A2" s="13" t="inlineStr">
        <is>
          <t>Total Applied</t>
        </is>
      </c>
      <c r="B2" s="14">
        <f>COUNTA('Job Applications'!E4:E1000)</f>
        <v/>
      </c>
    </row>
    <row r="3" ht="28" customHeight="1">
      <c r="A3" s="13" t="inlineStr">
        <is>
          <t>In Review</t>
        </is>
      </c>
      <c r="B3" s="14">
        <f>COUNTIF('Job Applications'!G4:G1000,"In Review")</f>
        <v/>
      </c>
    </row>
    <row r="4" ht="28" customHeight="1">
      <c r="A4" s="13" t="inlineStr">
        <is>
          <t>Interviews</t>
        </is>
      </c>
      <c r="B4" s="14">
        <f>COUNTIF('Job Applications'!G4:G1000,"Interview")</f>
        <v/>
      </c>
    </row>
    <row r="5" ht="28" customHeight="1">
      <c r="A5" s="13" t="inlineStr">
        <is>
          <t>Offers</t>
        </is>
      </c>
      <c r="B5" s="14">
        <f>COUNTIF('Job Applications'!G4:G1000,"Offer")</f>
        <v/>
      </c>
    </row>
    <row r="6" ht="28" customHeight="1">
      <c r="A6" s="13" t="inlineStr">
        <is>
          <t>Rejected</t>
        </is>
      </c>
      <c r="B6" s="14">
        <f>COUNTIF('Job Applications'!G4:G1000,"Rejected")</f>
        <v/>
      </c>
    </row>
    <row r="7" ht="28" customHeight="1">
      <c r="A7" s="13" t="inlineStr">
        <is>
          <t>Response Rate %</t>
        </is>
      </c>
      <c r="B7" s="14">
        <f>IF(COUNTA('Job Applications'!E4:E1000)=0,0,ROUND((COUNTIF('Job Applications'!G4:G1000,"Interview")+COUNTIF('Job Applications'!G4:G1000,"Offer"))/COUNTA('Job Applications'!E4:E1000)*100,1))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2026-05-20T20:33:22Z</dcterms:created>
  <dcterms:modified xmlns:dcterms="http://purl.org/dc/terms/" xmlns:xsi="http://www.w3.org/2001/XMLSchema-instance" xsi:type="dcterms:W3CDTF">2026-05-20T20:33:22Z</dcterms:modified>
</cp:coreProperties>
</file>